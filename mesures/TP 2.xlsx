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tantes" sheetId="1" state="visible" r:id="rId3"/>
    <sheet name="1.1 Geant4" sheetId="2" state="visible" r:id="rId4"/>
    <sheet name="1.2 BERT" sheetId="3" state="visible" r:id="rId5"/>
    <sheet name="Synthèse" sheetId="4" state="visible" r:id="rId6"/>
    <sheet name="2 Questions" sheetId="5" state="visible" r:id="rId7"/>
    <sheet name="2 Quantiles" sheetId="6" state="visible" r:id="rId8"/>
    <sheet name="2 EcoIndex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<sst xmlns="http://schemas.openxmlformats.org/spreadsheetml/2006/main" count="238" uniqueCount="175">
  <si>
    <t xml:space="preserve">TP 2 – Constantes (Lannelongue et al., 2021)</t>
  </si>
  <si>
    <t xml:space="preserve">Légende : cellules jaunes / texte bleu = entrées modifiables ; texte noir = formules ; texte vert = lien vers une autre feuille.</t>
  </si>
  <si>
    <t xml:space="preserve">Constante</t>
  </si>
  <si>
    <t xml:space="preserve">Valeur</t>
  </si>
  <si>
    <t xml:space="preserve">Unité</t>
  </si>
  <si>
    <t xml:space="preserve">Source / remarque</t>
  </si>
  <si>
    <t xml:space="preserve">PUE moyen mondial</t>
  </si>
  <si>
    <t xml:space="preserve">-</t>
  </si>
  <si>
    <t xml:space="preserve">Article §2 (Uptime Institute 2019)</t>
  </si>
  <si>
    <t xml:space="preserve">CI moyenne mondiale</t>
  </si>
  <si>
    <t xml:space="preserve">gCO2e/kWh</t>
  </si>
  <si>
    <t xml:space="preserve">Article §2 (IEA 2019)</t>
  </si>
  <si>
    <t xml:space="preserve">Puissance mémoire P_m</t>
  </si>
  <si>
    <t xml:space="preserve">W/Go</t>
  </si>
  <si>
    <t xml:space="preserve">Article §5, Power Draw from Memory</t>
  </si>
  <si>
    <t xml:space="preserve">Absorption d'un arbre adulte</t>
  </si>
  <si>
    <t xml:space="preserve">kgCO2/an</t>
  </si>
  <si>
    <t xml:space="preserve">Article §5, CO2 Sequestration by Trees</t>
  </si>
  <si>
    <t xml:space="preserve">Absorption d'un arbre par mois</t>
  </si>
  <si>
    <t xml:space="preserve">kgCO2/mois</t>
  </si>
  <si>
    <t xml:space="preserve">Calcul : absorption annuelle / 12 (l'article écrit « 0,92 g », coquille pour kg)</t>
  </si>
  <si>
    <t xml:space="preserve">Voiture européenne</t>
  </si>
  <si>
    <t xml:space="preserve">gCO2e/km</t>
  </si>
  <si>
    <t xml:space="preserve">Article §5, CO2e of Driving</t>
  </si>
  <si>
    <t xml:space="preserve">Vol New York – San Francisco</t>
  </si>
  <si>
    <t xml:space="preserve">gCO2e</t>
  </si>
  <si>
    <t xml:space="preserve">Article §5, vols de référence</t>
  </si>
  <si>
    <t xml:space="preserve">Vol Paris – Londres</t>
  </si>
  <si>
    <t xml:space="preserve">Formule (4) : C = t × (n_c × P_c × u_c + n_m × P_m) × PUE × CI × 0,001</t>
  </si>
  <si>
    <t xml:space="preserve">1.1 Simulation de physique des particules (Geant4-DNA)</t>
  </si>
  <si>
    <t xml:space="preserve">Paramètre</t>
  </si>
  <si>
    <t xml:space="preserve">Justification</t>
  </si>
  <si>
    <t xml:space="preserve">Durée (semaines)</t>
  </si>
  <si>
    <t xml:space="preserve">semaines</t>
  </si>
  <si>
    <t xml:space="preserve">Énoncé : 3 semaines par expérience</t>
  </si>
  <si>
    <t xml:space="preserve">t – Durée</t>
  </si>
  <si>
    <t xml:space="preserve">h</t>
  </si>
  <si>
    <t xml:space="preserve">Calcul : semaines × 7 × 24</t>
  </si>
  <si>
    <t xml:space="preserve">n_c – Nombre de cœurs</t>
  </si>
  <si>
    <t xml:space="preserve">cœurs</t>
  </si>
  <si>
    <t xml:space="preserve">24 threads sur 12 cœurs physiques : on compte les cœurs</t>
  </si>
  <si>
    <t xml:space="preserve">TDP du CPU (Xeon E5-2680 v3)</t>
  </si>
  <si>
    <t xml:space="preserve">W</t>
  </si>
  <si>
    <t xml:space="preserve">TDP constructeur du processeur (12 cœurs)</t>
  </si>
  <si>
    <t xml:space="preserve">P_c – Puissance par cœur</t>
  </si>
  <si>
    <t xml:space="preserve">W/cœur</t>
  </si>
  <si>
    <t xml:space="preserve">Calcul : TDP / nombre de cœurs</t>
  </si>
  <si>
    <t xml:space="preserve">u_c – Facteur d'usage</t>
  </si>
  <si>
    <t xml:space="preserve">Inconnu : hypothèse 100 % (article §5)</t>
  </si>
  <si>
    <t xml:space="preserve">n_m – Mémoire</t>
  </si>
  <si>
    <t xml:space="preserve">Go</t>
  </si>
  <si>
    <t xml:space="preserve">Énoncé : jusqu'à 10 Go</t>
  </si>
  <si>
    <t xml:space="preserve">P_m – Puissance mémoire</t>
  </si>
  <si>
    <t xml:space="preserve">Lien feuille Constantes</t>
  </si>
  <si>
    <t xml:space="preserve">PUE</t>
  </si>
  <si>
    <t xml:space="preserve">Moyenne mondiale</t>
  </si>
  <si>
    <t xml:space="preserve">CI</t>
  </si>
  <si>
    <t xml:space="preserve">PSF (niveaux d'énergie testés)</t>
  </si>
  <si>
    <t xml:space="preserve">Q3 : 11 niveaux d'énergie = 11 exécutions</t>
  </si>
  <si>
    <t xml:space="preserve">Résultats</t>
  </si>
  <si>
    <t xml:space="preserve">Formule / remarque</t>
  </si>
  <si>
    <t xml:space="preserve">Puissance CPU</t>
  </si>
  <si>
    <t xml:space="preserve">Calcul : n_c × P_c × u_c</t>
  </si>
  <si>
    <t xml:space="preserve">Puissance mémoire</t>
  </si>
  <si>
    <t xml:space="preserve">Calcul : n_m × P_m</t>
  </si>
  <si>
    <t xml:space="preserve">Puissance totale</t>
  </si>
  <si>
    <t xml:space="preserve">Q1 – Énergie (1 expérience)</t>
  </si>
  <si>
    <t xml:space="preserve">kWh</t>
  </si>
  <si>
    <t xml:space="preserve">Formule (1) : t × P × PUE × 0,001</t>
  </si>
  <si>
    <t xml:space="preserve">Q1 – Empreinte carbone (1 expérience)</t>
  </si>
  <si>
    <t xml:space="preserve">Formule (3) : E × CI — article : 49 465</t>
  </si>
  <si>
    <t xml:space="preserve">Q3 – Empreinte carbone (étude, ×PSF)</t>
  </si>
  <si>
    <t xml:space="preserve">Calcul : C × PSF — article : 544 115</t>
  </si>
  <si>
    <t xml:space="preserve">Équivalent voiture (étude)</t>
  </si>
  <si>
    <t xml:space="preserve">km</t>
  </si>
  <si>
    <t xml:space="preserve">article : 3 109 km</t>
  </si>
  <si>
    <t xml:space="preserve">Équivalent vols NY – SF (étude)</t>
  </si>
  <si>
    <t xml:space="preserve">vols</t>
  </si>
  <si>
    <t xml:space="preserve">article : ≈ 1 vol</t>
  </si>
  <si>
    <t xml:space="preserve">Q4 – Arbres-mois (1 expérience)</t>
  </si>
  <si>
    <t xml:space="preserve">arbres-mois</t>
  </si>
  <si>
    <t xml:space="preserve">Q4 – Arbres-mois (étude)</t>
  </si>
  <si>
    <t xml:space="preserve">article : 593</t>
  </si>
  <si>
    <t xml:space="preserve">Q4 – Années pour un arbre (étude)</t>
  </si>
  <si>
    <t xml:space="preserve">ans</t>
  </si>
  <si>
    <t xml:space="preserve">article : 49 ans</t>
  </si>
  <si>
    <t xml:space="preserve">Q2 – Vérification sur green-algorithms.org</t>
  </si>
  <si>
    <t xml:space="preserve">Runtime 504 h ; CPU Xeon E5-2680 v3 ; 12 cœurs ; mémoire 10 Go ; usage factor 1 ;</t>
  </si>
  <si>
    <t xml:space="preserve">localisation World ; PUE 1,67 ; PSF 1 (puis 11). Si le site a mis à jour ses valeurs par défaut,</t>
  </si>
  <si>
    <t xml:space="preserve">forcer PUE = 1,67 et vérifier que la CI utilisée est 475 gCO2e/kWh.</t>
  </si>
  <si>
    <t xml:space="preserve">Résultat site : ____________ gCO2e  (à compléter)</t>
  </si>
  <si>
    <t xml:space="preserve">1.2 IA – Entraînement de BERT (TAL)</t>
  </si>
  <si>
    <t xml:space="preserve">t – Durée d'entraînement</t>
  </si>
  <si>
    <t xml:space="preserve">Énoncé (Strubell et al., 2019)</t>
  </si>
  <si>
    <t xml:space="preserve">n_c – Nombre de GPU</t>
  </si>
  <si>
    <t xml:space="preserve">GPU</t>
  </si>
  <si>
    <t xml:space="preserve">Tesla V100</t>
  </si>
  <si>
    <t xml:space="preserve">P_c – TDP d'un GPU Tesla V100</t>
  </si>
  <si>
    <t xml:space="preserve">W/GPU</t>
  </si>
  <si>
    <t xml:space="preserve">TDP constructeur (valeur Green Algorithms)</t>
  </si>
  <si>
    <t xml:space="preserve">Énoncé : 62,7 %</t>
  </si>
  <si>
    <t xml:space="preserve">Non prise en compte (négligeable, cohérent avec l'article)</t>
  </si>
  <si>
    <t xml:space="preserve">PSF (recherche d'hyperparamètres)</t>
  </si>
  <si>
    <t xml:space="preserve">Q2 : PSF conservateur de 100</t>
  </si>
  <si>
    <t xml:space="preserve">Puissance GPU</t>
  </si>
  <si>
    <t xml:space="preserve">Énergie (1 entraînement)</t>
  </si>
  <si>
    <t xml:space="preserve">Formule (1)</t>
  </si>
  <si>
    <t xml:space="preserve">Q1 – Empreinte carbone (1 entraînement)</t>
  </si>
  <si>
    <t xml:space="preserve">article : 754 407</t>
  </si>
  <si>
    <t xml:space="preserve">Q2 – Empreinte carbone (PSF)</t>
  </si>
  <si>
    <t xml:space="preserve">article : 75 440 740</t>
  </si>
  <si>
    <t xml:space="preserve">tCO2e</t>
  </si>
  <si>
    <t xml:space="preserve">Équivalent voiture (1 entraînement)</t>
  </si>
  <si>
    <t xml:space="preserve">article : 4 311 km</t>
  </si>
  <si>
    <t xml:space="preserve">Équivalent vols NY – SF (1 entraînement)</t>
  </si>
  <si>
    <t xml:space="preserve">article : 1,3 vol</t>
  </si>
  <si>
    <t xml:space="preserve">Arbres-mois (1 entraînement)</t>
  </si>
  <si>
    <t xml:space="preserve">article : 823</t>
  </si>
  <si>
    <t xml:space="preserve">Arbres-mois (avec PSF)</t>
  </si>
  <si>
    <t xml:space="preserve">Équivalent voiture (avec PSF)</t>
  </si>
  <si>
    <t xml:space="preserve">Synthèse : calcul vs article</t>
  </si>
  <si>
    <t xml:space="preserve">Mesure</t>
  </si>
  <si>
    <t xml:space="preserve">Calcul (gCO2e)</t>
  </si>
  <si>
    <t xml:space="preserve">Article (gCO2e)</t>
  </si>
  <si>
    <t xml:space="preserve">Écart (gCO2e)</t>
  </si>
  <si>
    <t xml:space="preserve">Écart relatif</t>
  </si>
  <si>
    <t xml:space="preserve">Geant4 – 1 expérience</t>
  </si>
  <si>
    <t xml:space="preserve">Geant4 – étude (PSF 11)</t>
  </si>
  <si>
    <t xml:space="preserve">BERT – 1 entraînement</t>
  </si>
  <si>
    <t xml:space="preserve">BERT – PSF 100</t>
  </si>
  <si>
    <t xml:space="preserve">Valeurs « Article » : Lannelongue et al., Adv. Sci. 2021, 8, 2100707, §2.1 et §2.3.</t>
  </si>
  <si>
    <t xml:space="preserve">Partie 2 – EcoIndex : réponses aux questions 1 à 3</t>
  </si>
  <si>
    <t xml:space="preserve">Q1 – Formule implémentée</t>
  </si>
  <si>
    <t xml:space="preserve">EcoIndex = 100 − 5 × (3 × Q_dom + 2 × Q_req + Q_size) / 6
Pondérations : 3 pour la taille du DOM, 2 pour le nombre de requêtes, 1 pour le poids de la page. Le score va de 0 à 100 (100 = meilleur).
Vérifié dans le code de l'organisation GitHub cnumr :
• cnumr/ecoindex_python, components/ecoindex/compute/ecoindex.py, get_score() : round(100 - 5 * (3 * q_dom + 2 * q_req + q_size) / 6)
• cnumr/ecoindex_js, src/index.js, computeEcoIndex() : même formule, sans arrondi.
Les deux implémentations lisent les mêmes bornes (cnumr/ecoindex_reference) : les quantiles copiés dans ecoindex_python sont identiques au fichier de référence.
Le code calcule aussi la note (A ≥ 80 &lt; B … G), les GES = 2 + 2 × (50 − EcoIndex) / 100 (gCO2e) et l'eau = 3 + 3 × (50 − EcoIndex) / 100 (cl).</t>
  </si>
  <si>
    <t xml:space="preserve">Q2 – Fonction Quantile(x)</t>
  </si>
  <si>
    <t xml:space="preserve">Pour un tableau de bornes Q[0..20] (21 bornes, 20 intervalles) et une valeur x :
• on cherche le premier i (de 1 à 20) tel que x &lt; Q[i] ;
• Quantile(x) = (i − 1) + (x − Q[i−1]) / (Q[i] − Q[i−1])   (interpolation linéaire dans l'intervalle) ;
• si x ≥ Q[20], Quantile(x) = 20.
Le résultat est donc un réel entre 0 et 20 : 0 = meilleur que toutes les pages de référence, 20 = pire.
Dans la feuille « 2 EcoIndex », il est implémenté avec EQUIV (MATCH) et INDEX sur l'onglet « 2 Quantiles ».</t>
  </si>
  <si>
    <t xml:space="preserve">Q3 – Scénario d'évaluation</t>
  </si>
  <si>
    <t xml:space="preserve">Scénario du scraper officiel (ecoindex_python, scraper/scrap.py) :
1. Navigateur de bureau sans tête, contexte neuf (cache vide, sans cookies de consentement), user-agent desktop.
2. Fenêtre 1920 × 1080 px.
3. Chargement de l'URL et attente de l'événement load.
4. Attente avant défilement (1 s par défaut, 3 s via le helper), capture d'écran.
5. Touche Flèche bas puis défilement jusqu'en bas de page (déclenche le lazy-loading).
6. Attente après défilement (1 à 3 s).
7. Mesures : DOM = nombre d'éléments (*) hors enfants des &lt;svg&gt; ; requêtes = nombre d'entrées du fichier HAR ; poids = somme des tailles transférées / 1000 (Ko).
On mesure la page d'accueil, telle qu'un visiteur la découvre, sans accepter les cookies.</t>
  </si>
  <si>
    <t xml:space="preserve">Q4 – Bornes de quantiles (cnumr/ecoindex_reference, ecoindex_reference.json)</t>
  </si>
  <si>
    <t xml:space="preserve">Indice</t>
  </si>
  <si>
    <t xml:space="preserve">DOM (éléments)</t>
  </si>
  <si>
    <t xml:space="preserve">Requêtes</t>
  </si>
  <si>
    <t xml:space="preserve">Poids (Ko)</t>
  </si>
  <si>
    <t xml:space="preserve">Seuils de notes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</si>
  <si>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</si>
  <si>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</si>
  <si>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</si>
  <si>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</si>
  <si>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</si>
  <si>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</si>
  <si>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</si>
  <si>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Note = première lettre dont le score est strictement supérieur au seuil.</t>
  </si>
  <si>
    <t xml:space="preserve">Q5 – Calcul de l'EcoIndex des pages d'accueil</t>
  </si>
  <si>
    <t xml:space="preserve">Entrées (bleu, jaune) : mesures DOM / requêtes / poids relevées par ecoindex.fr (API publique bff.ecoindex.fr). Tout le reste est calculé.</t>
  </si>
  <si>
    <t xml:space="preserve">Page</t>
  </si>
  <si>
    <t xml:space="preserve">Q_dom</t>
  </si>
  <si>
    <t xml:space="preserve">Q_req</t>
  </si>
  <si>
    <t xml:space="preserve">Q_size</t>
  </si>
  <si>
    <t xml:space="preserve">EcoIndex (non arrondi)</t>
  </si>
  <si>
    <t xml:space="preserve">EcoIndex</t>
  </si>
  <si>
    <t xml:space="preserve">Note</t>
  </si>
  <si>
    <t xml:space="preserve">GES (gCO2e)</t>
  </si>
  <si>
    <t xml:space="preserve">Eau (cl)</t>
  </si>
  <si>
    <t xml:space="preserve">ecoindex.fr : score</t>
  </si>
  <si>
    <t xml:space="preserve">Note site</t>
  </si>
  <si>
    <t xml:space="preserve">Écart score</t>
  </si>
  <si>
    <t xml:space="preserve">Date et remarque de la mesure ecoindex.fr</t>
  </si>
  <si>
    <t xml:space="preserve">https://www.ecoindex.fr/</t>
  </si>
  <si>
    <t xml:space="preserve">14/10/2026</t>
  </si>
  <si>
    <t xml:space="preserve">https://www.leboncoin.fr/</t>
  </si>
  <si>
    <t xml:space="preserve">08/10/2026</t>
  </si>
  <si>
    <t xml:space="preserve">https://www.amazon.com/</t>
  </si>
  <si>
    <t xml:space="preserve">19/03/2026 – mesures plus récentes écartées : 48 éléments / 9 requêtes = page anti-robot d'Amazon, pas la vraie page d'accueil</t>
  </si>
  <si>
    <t xml:space="preserve">Vérification : un écart de 0 en colonne O signifie que la feuille retrouve exactement le score d'ecoindex.fr.</t>
  </si>
  <si>
    <t xml:space="preserve">Les mesures d'un même site varient d'un passage à l'autre (publicités, contenus dynamiques) : on retient la mesure la plus récente qui reflète la vraie page.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</si>
</sst>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#,##0"/>
    <numFmt numFmtId="167" formatCode="0.0000"/>
    <numFmt numFmtId="168" formatCode="0"/>
    <numFmt numFmtId="169" formatCode="0.000"/>
    <numFmt numFmtId="170" formatCode="0.0%"/>
    <numFmt numFmtId="171" formatCode="#,##0.00"/>
    <numFmt numFmtId="172" formatCode="#,##0.000"/>
    <numFmt numFmtId="173" formatCode="0.0"/>
    <numFmt numFmtId="174" formatCode="#,##0.0"/>
    <numFmt numFmtId="175" formatCode="#,##0;\-#,##0;\-"/>
    <numFmt numFmtId="176" formatCode="0.00%"/>
    <numFmt numFmtId="177" formatCode="0;\-0;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FFFF00"/>
        <bgColor rgb="FFFFFF00"/>
      </patternFill>
    </fill>
    <fill>
      <patternFill patternType="solid">
        <fgColor rgb="FFE8F5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1.67</v>
      </c>
      <c r="C5" s="4" t="s">
        <v>7</v>
      </c>
      <c r="D5" s="6" t="s">
        <v>8</v>
      </c>
    </row>
    <row r="6" customFormat="false" ht="15" hidden="false" customHeight="false" outlineLevel="0" collapsed="false">
      <c r="A6" s="4" t="s">
        <v>9</v>
      </c>
      <c r="B6" s="7" t="n">
        <v>475</v>
      </c>
      <c r="C6" s="4" t="s">
        <v>10</v>
      </c>
      <c r="D6" s="6" t="s">
        <v>11</v>
      </c>
    </row>
    <row r="7" customFormat="false" ht="15" hidden="false" customHeight="false" outlineLevel="0" collapsed="false">
      <c r="A7" s="4" t="s">
        <v>12</v>
      </c>
      <c r="B7" s="8" t="n">
        <v>0.3725</v>
      </c>
      <c r="C7" s="4" t="s">
        <v>13</v>
      </c>
      <c r="D7" s="6" t="s">
        <v>14</v>
      </c>
    </row>
    <row r="8" customFormat="false" ht="15" hidden="false" customHeight="false" outlineLevel="0" collapsed="false">
      <c r="A8" s="4" t="s">
        <v>15</v>
      </c>
      <c r="B8" s="9" t="n">
        <v>11</v>
      </c>
      <c r="C8" s="4" t="s">
        <v>16</v>
      </c>
      <c r="D8" s="6" t="s">
        <v>17</v>
      </c>
    </row>
    <row r="9" customFormat="false" ht="15" hidden="false" customHeight="false" outlineLevel="0" collapsed="false">
      <c r="A9" s="4" t="s">
        <v>18</v>
      </c>
      <c r="B9" s="10" t="n">
        <f aca="false">B8/12</f>
        <v>0.916666666666667</v>
      </c>
      <c r="C9" s="4" t="s">
        <v>19</v>
      </c>
      <c r="D9" s="6" t="s">
        <v>20</v>
      </c>
    </row>
    <row r="10" customFormat="false" ht="15" hidden="false" customHeight="false" outlineLevel="0" collapsed="false">
      <c r="A10" s="4" t="s">
        <v>21</v>
      </c>
      <c r="B10" s="9" t="n">
        <v>175</v>
      </c>
      <c r="C10" s="4" t="s">
        <v>22</v>
      </c>
      <c r="D10" s="6" t="s">
        <v>23</v>
      </c>
    </row>
    <row r="11" customFormat="false" ht="15" hidden="false" customHeight="false" outlineLevel="0" collapsed="false">
      <c r="A11" s="4" t="s">
        <v>24</v>
      </c>
      <c r="B11" s="7" t="n">
        <v>570000</v>
      </c>
      <c r="C11" s="4" t="s">
        <v>25</v>
      </c>
      <c r="D11" s="6" t="s">
        <v>26</v>
      </c>
    </row>
    <row r="12" customFormat="false" ht="15" hidden="false" customHeight="false" outlineLevel="0" collapsed="false">
      <c r="A12" s="4" t="s">
        <v>27</v>
      </c>
      <c r="B12" s="7" t="n">
        <v>50000</v>
      </c>
      <c r="C12" s="4" t="s">
        <v>25</v>
      </c>
      <c r="D12" s="6" t="s">
        <v>26</v>
      </c>
    </row>
    <row r="14" customFormat="false" ht="15" hidden="false" customHeight="false" outlineLevel="0" collapsed="false">
      <c r="A14" s="11" t="s">
        <v>28</v>
      </c>
      <c r="B14" s="11"/>
      <c r="C14" s="11"/>
      <c r="D14" s="11"/>
    </row>
  </sheetData>
  <mergeCells count="1"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29</v>
      </c>
    </row>
    <row r="3" customFormat="false" ht="15" hidden="false" customHeight="false" outlineLevel="0" collapsed="false">
      <c r="A3" s="3" t="s">
        <v>30</v>
      </c>
      <c r="B3" s="3" t="s">
        <v>3</v>
      </c>
      <c r="C3" s="3" t="s">
        <v>4</v>
      </c>
      <c r="D3" s="3" t="s">
        <v>31</v>
      </c>
    </row>
    <row r="4" customFormat="false" ht="15" hidden="false" customHeight="false" outlineLevel="0" collapsed="false">
      <c r="A4" s="4" t="s">
        <v>32</v>
      </c>
      <c r="B4" s="9" t="n">
        <v>3</v>
      </c>
      <c r="C4" s="4" t="s">
        <v>33</v>
      </c>
      <c r="D4" s="6" t="s">
        <v>34</v>
      </c>
    </row>
    <row r="5" customFormat="false" ht="15" hidden="false" customHeight="false" outlineLevel="0" collapsed="false">
      <c r="A5" s="4" t="s">
        <v>35</v>
      </c>
      <c r="B5" s="12" t="n">
        <f aca="false">B4*7*24</f>
        <v>504</v>
      </c>
      <c r="C5" s="4" t="s">
        <v>36</v>
      </c>
      <c r="D5" s="6" t="s">
        <v>37</v>
      </c>
    </row>
    <row r="6" customFormat="false" ht="15" hidden="false" customHeight="false" outlineLevel="0" collapsed="false">
      <c r="A6" s="4" t="s">
        <v>38</v>
      </c>
      <c r="B6" s="9" t="n">
        <v>12</v>
      </c>
      <c r="C6" s="4" t="s">
        <v>39</v>
      </c>
      <c r="D6" s="6" t="s">
        <v>40</v>
      </c>
    </row>
    <row r="7" customFormat="false" ht="15" hidden="false" customHeight="false" outlineLevel="0" collapsed="false">
      <c r="A7" s="4" t="s">
        <v>41</v>
      </c>
      <c r="B7" s="9" t="n">
        <v>120</v>
      </c>
      <c r="C7" s="4" t="s">
        <v>42</v>
      </c>
      <c r="D7" s="6" t="s">
        <v>43</v>
      </c>
    </row>
    <row r="8" customFormat="false" ht="15" hidden="false" customHeight="false" outlineLevel="0" collapsed="false">
      <c r="A8" s="4" t="s">
        <v>44</v>
      </c>
      <c r="B8" s="13" t="n">
        <f aca="false">B7/B6</f>
        <v>10</v>
      </c>
      <c r="C8" s="4" t="s">
        <v>45</v>
      </c>
      <c r="D8" s="6" t="s">
        <v>46</v>
      </c>
    </row>
    <row r="9" customFormat="false" ht="15" hidden="false" customHeight="false" outlineLevel="0" collapsed="false">
      <c r="A9" s="4" t="s">
        <v>47</v>
      </c>
      <c r="B9" s="14" t="n">
        <v>1</v>
      </c>
      <c r="C9" s="4" t="s">
        <v>7</v>
      </c>
      <c r="D9" s="6" t="s">
        <v>48</v>
      </c>
    </row>
    <row r="10" customFormat="false" ht="15" hidden="false" customHeight="false" outlineLevel="0" collapsed="false">
      <c r="A10" s="4" t="s">
        <v>49</v>
      </c>
      <c r="B10" s="9" t="n">
        <v>10</v>
      </c>
      <c r="C10" s="4" t="s">
        <v>50</v>
      </c>
      <c r="D10" s="6" t="s">
        <v>51</v>
      </c>
    </row>
    <row r="11" customFormat="false" ht="15" hidden="false" customHeight="false" outlineLevel="0" collapsed="false">
      <c r="A11" s="4" t="s">
        <v>52</v>
      </c>
      <c r="B11" s="15" t="n">
        <f aca="false">Constantes!B7</f>
        <v>0.3725</v>
      </c>
      <c r="C11" s="4" t="s">
        <v>13</v>
      </c>
      <c r="D11" s="6" t="s">
        <v>53</v>
      </c>
    </row>
    <row r="12" customFormat="false" ht="15" hidden="false" customHeight="false" outlineLevel="0" collapsed="false">
      <c r="A12" s="4" t="s">
        <v>54</v>
      </c>
      <c r="B12" s="16" t="n">
        <f aca="false">Constantes!B5</f>
        <v>1.67</v>
      </c>
      <c r="C12" s="4" t="s">
        <v>7</v>
      </c>
      <c r="D12" s="6" t="s">
        <v>55</v>
      </c>
    </row>
    <row r="13" customFormat="false" ht="15" hidden="false" customHeight="false" outlineLevel="0" collapsed="false">
      <c r="A13" s="4" t="s">
        <v>56</v>
      </c>
      <c r="B13" s="17" t="n">
        <f aca="false">Constantes!B6</f>
        <v>475</v>
      </c>
      <c r="C13" s="4" t="s">
        <v>10</v>
      </c>
      <c r="D13" s="6" t="s">
        <v>55</v>
      </c>
    </row>
    <row r="14" customFormat="false" ht="15" hidden="false" customHeight="false" outlineLevel="0" collapsed="false">
      <c r="A14" s="4" t="s">
        <v>57</v>
      </c>
      <c r="B14" s="9" t="n">
        <v>11</v>
      </c>
      <c r="C14" s="4" t="s">
        <v>7</v>
      </c>
      <c r="D14" s="6" t="s">
        <v>58</v>
      </c>
    </row>
    <row r="16" customFormat="false" ht="15" hidden="false" customHeight="false" outlineLevel="0" collapsed="false">
      <c r="A16" s="3" t="s">
        <v>59</v>
      </c>
      <c r="B16" s="3" t="s">
        <v>3</v>
      </c>
      <c r="C16" s="3" t="s">
        <v>4</v>
      </c>
      <c r="D16" s="3" t="s">
        <v>60</v>
      </c>
    </row>
    <row r="17" customFormat="false" ht="15" hidden="false" customHeight="false" outlineLevel="0" collapsed="false">
      <c r="A17" s="4" t="s">
        <v>61</v>
      </c>
      <c r="B17" s="18" t="n">
        <f aca="false">B6*B8*B9</f>
        <v>120</v>
      </c>
      <c r="C17" s="4" t="s">
        <v>42</v>
      </c>
      <c r="D17" s="6" t="s">
        <v>62</v>
      </c>
    </row>
    <row r="18" customFormat="false" ht="15" hidden="false" customHeight="false" outlineLevel="0" collapsed="false">
      <c r="A18" s="4" t="s">
        <v>63</v>
      </c>
      <c r="B18" s="19" t="n">
        <f aca="false">B10*B11</f>
        <v>3.725</v>
      </c>
      <c r="C18" s="4" t="s">
        <v>42</v>
      </c>
      <c r="D18" s="6" t="s">
        <v>64</v>
      </c>
    </row>
    <row r="19" customFormat="false" ht="15" hidden="false" customHeight="false" outlineLevel="0" collapsed="false">
      <c r="A19" s="4" t="s">
        <v>65</v>
      </c>
      <c r="B19" s="19" t="n">
        <f aca="false">B17+B18</f>
        <v>123.725</v>
      </c>
      <c r="C19" s="4" t="s">
        <v>42</v>
      </c>
      <c r="D19" s="6"/>
    </row>
    <row r="20" customFormat="false" ht="15" hidden="false" customHeight="false" outlineLevel="0" collapsed="false">
      <c r="A20" s="4" t="s">
        <v>66</v>
      </c>
      <c r="B20" s="18" t="n">
        <f aca="false">B5*B19*B12*0.001</f>
        <v>104.136858</v>
      </c>
      <c r="C20" s="4" t="s">
        <v>67</v>
      </c>
      <c r="D20" s="6" t="s">
        <v>68</v>
      </c>
    </row>
    <row r="21" customFormat="false" ht="15" hidden="false" customHeight="false" outlineLevel="0" collapsed="false">
      <c r="A21" s="20" t="s">
        <v>69</v>
      </c>
      <c r="B21" s="21" t="n">
        <f aca="false">B20*B13</f>
        <v>49465.00755</v>
      </c>
      <c r="C21" s="22" t="s">
        <v>25</v>
      </c>
      <c r="D21" s="23" t="s">
        <v>70</v>
      </c>
    </row>
    <row r="22" customFormat="false" ht="15" hidden="false" customHeight="false" outlineLevel="0" collapsed="false">
      <c r="A22" s="20" t="s">
        <v>71</v>
      </c>
      <c r="B22" s="21" t="n">
        <f aca="false">B21*B14</f>
        <v>544115.08305</v>
      </c>
      <c r="C22" s="22" t="s">
        <v>25</v>
      </c>
      <c r="D22" s="23" t="s">
        <v>72</v>
      </c>
    </row>
    <row r="23" customFormat="false" ht="15" hidden="false" customHeight="false" outlineLevel="0" collapsed="false">
      <c r="A23" s="4" t="s">
        <v>73</v>
      </c>
      <c r="B23" s="12" t="n">
        <f aca="false">B22/Constantes!B10</f>
        <v>3109.229046</v>
      </c>
      <c r="C23" s="4" t="s">
        <v>74</v>
      </c>
      <c r="D23" s="6" t="s">
        <v>75</v>
      </c>
    </row>
    <row r="24" customFormat="false" ht="15" hidden="false" customHeight="false" outlineLevel="0" collapsed="false">
      <c r="A24" s="4" t="s">
        <v>76</v>
      </c>
      <c r="B24" s="13" t="n">
        <f aca="false">B22/Constantes!B11</f>
        <v>0.954587865</v>
      </c>
      <c r="C24" s="4" t="s">
        <v>77</v>
      </c>
      <c r="D24" s="6" t="s">
        <v>78</v>
      </c>
    </row>
    <row r="25" customFormat="false" ht="15" hidden="false" customHeight="false" outlineLevel="0" collapsed="false">
      <c r="A25" s="4" t="s">
        <v>79</v>
      </c>
      <c r="B25" s="12" t="n">
        <f aca="false">B21/1000/Constantes!B9</f>
        <v>53.9618264181818</v>
      </c>
      <c r="C25" s="4" t="s">
        <v>80</v>
      </c>
      <c r="D25" s="6"/>
    </row>
    <row r="26" customFormat="false" ht="15" hidden="false" customHeight="false" outlineLevel="0" collapsed="false">
      <c r="A26" s="4" t="s">
        <v>81</v>
      </c>
      <c r="B26" s="12" t="n">
        <f aca="false">B22/1000/Constantes!B9</f>
        <v>593.5800906</v>
      </c>
      <c r="C26" s="4" t="s">
        <v>80</v>
      </c>
      <c r="D26" s="6" t="s">
        <v>82</v>
      </c>
    </row>
    <row r="27" customFormat="false" ht="15" hidden="false" customHeight="false" outlineLevel="0" collapsed="false">
      <c r="A27" s="4" t="s">
        <v>83</v>
      </c>
      <c r="B27" s="24" t="n">
        <f aca="false">B26/12</f>
        <v>49.46500755</v>
      </c>
      <c r="C27" s="4" t="s">
        <v>84</v>
      </c>
      <c r="D27" s="6" t="s">
        <v>85</v>
      </c>
    </row>
    <row r="29" customFormat="false" ht="15" hidden="false" customHeight="false" outlineLevel="0" collapsed="false">
      <c r="A29" s="25" t="s">
        <v>86</v>
      </c>
    </row>
    <row r="30" customFormat="false" ht="15" hidden="false" customHeight="false" outlineLevel="0" collapsed="false">
      <c r="A30" s="26" t="s">
        <v>87</v>
      </c>
    </row>
    <row r="31" customFormat="false" ht="15" hidden="false" customHeight="false" outlineLevel="0" collapsed="false">
      <c r="A31" s="26" t="s">
        <v>88</v>
      </c>
    </row>
    <row r="32" customFormat="false" ht="15" hidden="false" customHeight="false" outlineLevel="0" collapsed="false">
      <c r="A32" s="26" t="s">
        <v>89</v>
      </c>
    </row>
    <row r="33" customFormat="false" ht="15" hidden="false" customHeight="false" outlineLevel="0" collapsed="false">
      <c r="A33" s="26" t="s">
        <v>90</v>
      </c>
      <c r="B33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91</v>
      </c>
    </row>
    <row r="3" customFormat="false" ht="15" hidden="false" customHeight="false" outlineLevel="0" collapsed="false">
      <c r="A3" s="3" t="s">
        <v>30</v>
      </c>
      <c r="B3" s="3" t="s">
        <v>3</v>
      </c>
      <c r="C3" s="3" t="s">
        <v>4</v>
      </c>
      <c r="D3" s="3" t="s">
        <v>31</v>
      </c>
    </row>
    <row r="4" customFormat="false" ht="15" hidden="false" customHeight="false" outlineLevel="0" collapsed="false">
      <c r="A4" s="4" t="s">
        <v>92</v>
      </c>
      <c r="B4" s="9" t="n">
        <v>79</v>
      </c>
      <c r="C4" s="4" t="s">
        <v>36</v>
      </c>
      <c r="D4" s="6" t="s">
        <v>93</v>
      </c>
    </row>
    <row r="5" customFormat="false" ht="15" hidden="false" customHeight="false" outlineLevel="0" collapsed="false">
      <c r="A5" s="4" t="s">
        <v>94</v>
      </c>
      <c r="B5" s="9" t="n">
        <v>64</v>
      </c>
      <c r="C5" s="4" t="s">
        <v>95</v>
      </c>
      <c r="D5" s="6" t="s">
        <v>96</v>
      </c>
    </row>
    <row r="6" customFormat="false" ht="15" hidden="false" customHeight="false" outlineLevel="0" collapsed="false">
      <c r="A6" s="4" t="s">
        <v>97</v>
      </c>
      <c r="B6" s="9" t="n">
        <v>300</v>
      </c>
      <c r="C6" s="4" t="s">
        <v>98</v>
      </c>
      <c r="D6" s="6" t="s">
        <v>99</v>
      </c>
    </row>
    <row r="7" customFormat="false" ht="15" hidden="false" customHeight="false" outlineLevel="0" collapsed="false">
      <c r="A7" s="4" t="s">
        <v>47</v>
      </c>
      <c r="B7" s="14" t="n">
        <v>0.627</v>
      </c>
      <c r="C7" s="4" t="s">
        <v>7</v>
      </c>
      <c r="D7" s="6" t="s">
        <v>100</v>
      </c>
    </row>
    <row r="8" customFormat="false" ht="15" hidden="false" customHeight="false" outlineLevel="0" collapsed="false">
      <c r="A8" s="4" t="s">
        <v>49</v>
      </c>
      <c r="B8" s="9" t="n">
        <v>0</v>
      </c>
      <c r="C8" s="4" t="s">
        <v>50</v>
      </c>
      <c r="D8" s="6" t="s">
        <v>101</v>
      </c>
    </row>
    <row r="9" customFormat="false" ht="15" hidden="false" customHeight="false" outlineLevel="0" collapsed="false">
      <c r="A9" s="4" t="s">
        <v>52</v>
      </c>
      <c r="B9" s="15" t="n">
        <f aca="false">Constantes!B7</f>
        <v>0.3725</v>
      </c>
      <c r="C9" s="4" t="s">
        <v>13</v>
      </c>
      <c r="D9" s="6" t="s">
        <v>53</v>
      </c>
    </row>
    <row r="10" customFormat="false" ht="15" hidden="false" customHeight="false" outlineLevel="0" collapsed="false">
      <c r="A10" s="4" t="s">
        <v>54</v>
      </c>
      <c r="B10" s="16" t="n">
        <f aca="false">Constantes!B5</f>
        <v>1.67</v>
      </c>
      <c r="C10" s="4" t="s">
        <v>7</v>
      </c>
      <c r="D10" s="6" t="s">
        <v>55</v>
      </c>
    </row>
    <row r="11" customFormat="false" ht="15" hidden="false" customHeight="false" outlineLevel="0" collapsed="false">
      <c r="A11" s="4" t="s">
        <v>56</v>
      </c>
      <c r="B11" s="17" t="n">
        <f aca="false">Constantes!B6</f>
        <v>475</v>
      </c>
      <c r="C11" s="4" t="s">
        <v>10</v>
      </c>
      <c r="D11" s="6" t="s">
        <v>55</v>
      </c>
    </row>
    <row r="12" customFormat="false" ht="15" hidden="false" customHeight="false" outlineLevel="0" collapsed="false">
      <c r="A12" s="4" t="s">
        <v>102</v>
      </c>
      <c r="B12" s="9" t="n">
        <v>100</v>
      </c>
      <c r="C12" s="4" t="s">
        <v>7</v>
      </c>
      <c r="D12" s="6" t="s">
        <v>103</v>
      </c>
    </row>
    <row r="14" customFormat="false" ht="15" hidden="false" customHeight="false" outlineLevel="0" collapsed="false">
      <c r="A14" s="3" t="s">
        <v>59</v>
      </c>
      <c r="B14" s="3" t="s">
        <v>3</v>
      </c>
      <c r="C14" s="3" t="s">
        <v>4</v>
      </c>
      <c r="D14" s="3" t="s">
        <v>60</v>
      </c>
    </row>
    <row r="15" customFormat="false" ht="15" hidden="false" customHeight="false" outlineLevel="0" collapsed="false">
      <c r="A15" s="4" t="s">
        <v>104</v>
      </c>
      <c r="B15" s="28" t="n">
        <f aca="false">B5*B6*B7</f>
        <v>12038.4</v>
      </c>
      <c r="C15" s="4" t="s">
        <v>42</v>
      </c>
      <c r="D15" s="6" t="s">
        <v>62</v>
      </c>
    </row>
    <row r="16" customFormat="false" ht="15" hidden="false" customHeight="false" outlineLevel="0" collapsed="false">
      <c r="A16" s="4" t="s">
        <v>63</v>
      </c>
      <c r="B16" s="28" t="n">
        <f aca="false">B8*B9</f>
        <v>0</v>
      </c>
      <c r="C16" s="4" t="s">
        <v>42</v>
      </c>
      <c r="D16" s="6" t="s">
        <v>64</v>
      </c>
    </row>
    <row r="17" customFormat="false" ht="15" hidden="false" customHeight="false" outlineLevel="0" collapsed="false">
      <c r="A17" s="4" t="s">
        <v>65</v>
      </c>
      <c r="B17" s="28" t="n">
        <f aca="false">B15+B16</f>
        <v>12038.4</v>
      </c>
      <c r="C17" s="4" t="s">
        <v>42</v>
      </c>
      <c r="D17" s="6"/>
    </row>
    <row r="18" customFormat="false" ht="15" hidden="false" customHeight="false" outlineLevel="0" collapsed="false">
      <c r="A18" s="4" t="s">
        <v>105</v>
      </c>
      <c r="B18" s="28" t="n">
        <f aca="false">B4*B17*B10*0.001</f>
        <v>1588.226112</v>
      </c>
      <c r="C18" s="4" t="s">
        <v>67</v>
      </c>
      <c r="D18" s="6" t="s">
        <v>106</v>
      </c>
    </row>
    <row r="19" customFormat="false" ht="15" hidden="false" customHeight="false" outlineLevel="0" collapsed="false">
      <c r="A19" s="20" t="s">
        <v>107</v>
      </c>
      <c r="B19" s="21" t="n">
        <f aca="false">B18*B11</f>
        <v>754407.4032</v>
      </c>
      <c r="C19" s="22" t="s">
        <v>25</v>
      </c>
      <c r="D19" s="23" t="s">
        <v>108</v>
      </c>
    </row>
    <row r="20" customFormat="false" ht="15" hidden="false" customHeight="false" outlineLevel="0" collapsed="false">
      <c r="A20" s="20" t="s">
        <v>109</v>
      </c>
      <c r="B20" s="21" t="n">
        <f aca="false">B19*B12</f>
        <v>75440740.32</v>
      </c>
      <c r="C20" s="22" t="s">
        <v>25</v>
      </c>
      <c r="D20" s="23" t="s">
        <v>110</v>
      </c>
    </row>
    <row r="21" customFormat="false" ht="15" hidden="false" customHeight="false" outlineLevel="0" collapsed="false">
      <c r="A21" s="4" t="s">
        <v>109</v>
      </c>
      <c r="B21" s="18" t="n">
        <f aca="false">B20/1000000</f>
        <v>75.44074032</v>
      </c>
      <c r="C21" s="4" t="s">
        <v>111</v>
      </c>
      <c r="D21" s="6"/>
    </row>
    <row r="22" customFormat="false" ht="15" hidden="false" customHeight="false" outlineLevel="0" collapsed="false">
      <c r="A22" s="4" t="s">
        <v>112</v>
      </c>
      <c r="B22" s="12" t="n">
        <f aca="false">B19/Constantes!B10</f>
        <v>4310.89944685714</v>
      </c>
      <c r="C22" s="4" t="s">
        <v>74</v>
      </c>
      <c r="D22" s="6" t="s">
        <v>113</v>
      </c>
    </row>
    <row r="23" customFormat="false" ht="15" hidden="false" customHeight="false" outlineLevel="0" collapsed="false">
      <c r="A23" s="4" t="s">
        <v>114</v>
      </c>
      <c r="B23" s="13" t="n">
        <f aca="false">B19/Constantes!B11</f>
        <v>1.32352176</v>
      </c>
      <c r="C23" s="4" t="s">
        <v>77</v>
      </c>
      <c r="D23" s="6" t="s">
        <v>115</v>
      </c>
    </row>
    <row r="24" customFormat="false" ht="15" hidden="false" customHeight="false" outlineLevel="0" collapsed="false">
      <c r="A24" s="4" t="s">
        <v>116</v>
      </c>
      <c r="B24" s="12" t="n">
        <f aca="false">B19/1000/Constantes!B9</f>
        <v>822.9898944</v>
      </c>
      <c r="C24" s="4" t="s">
        <v>80</v>
      </c>
      <c r="D24" s="6" t="s">
        <v>117</v>
      </c>
    </row>
    <row r="25" customFormat="false" ht="15" hidden="false" customHeight="false" outlineLevel="0" collapsed="false">
      <c r="A25" s="4" t="s">
        <v>118</v>
      </c>
      <c r="B25" s="12" t="n">
        <f aca="false">B20/1000/Constantes!B9</f>
        <v>82298.98944</v>
      </c>
      <c r="C25" s="4" t="s">
        <v>80</v>
      </c>
      <c r="D25" s="6"/>
    </row>
    <row r="26" customFormat="false" ht="15" hidden="false" customHeight="false" outlineLevel="0" collapsed="false">
      <c r="A26" s="4" t="s">
        <v>119</v>
      </c>
      <c r="B26" s="12" t="n">
        <f aca="false">B20/Constantes!B10</f>
        <v>431089.944685714</v>
      </c>
      <c r="C26" s="4" t="s">
        <v>74</v>
      </c>
      <c r="D2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20"/>
  </cols>
  <sheetData>
    <row r="1" customFormat="false" ht="17.35" hidden="false" customHeight="false" outlineLevel="0" collapsed="false">
      <c r="A1" s="1" t="s">
        <v>120</v>
      </c>
    </row>
    <row r="3" customFormat="false" ht="15" hidden="false" customHeight="false" outlineLevel="0" collapsed="false">
      <c r="A3" s="3" t="s">
        <v>121</v>
      </c>
      <c r="B3" s="3" t="s">
        <v>122</v>
      </c>
      <c r="C3" s="3" t="s">
        <v>123</v>
      </c>
      <c r="D3" s="3" t="s">
        <v>124</v>
      </c>
      <c r="E3" s="3" t="s">
        <v>125</v>
      </c>
    </row>
    <row r="4" customFormat="false" ht="15" hidden="false" customHeight="false" outlineLevel="0" collapsed="false">
      <c r="A4" s="4" t="s">
        <v>126</v>
      </c>
      <c r="B4" s="17" t="n">
        <f aca="false">'1.1 Geant4'!B21</f>
        <v>49465.00755</v>
      </c>
      <c r="C4" s="29" t="n">
        <v>49465</v>
      </c>
      <c r="D4" s="30" t="n">
        <f aca="false">B4-C4</f>
        <v>0.00754999999480788</v>
      </c>
      <c r="E4" s="31" t="n">
        <f aca="false">IF(C4=0,0,D4/C4)</f>
        <v>1.52633174867237E-007</v>
      </c>
    </row>
    <row r="5" customFormat="false" ht="15" hidden="false" customHeight="false" outlineLevel="0" collapsed="false">
      <c r="A5" s="4" t="s">
        <v>127</v>
      </c>
      <c r="B5" s="17" t="n">
        <f aca="false">'1.1 Geant4'!B22</f>
        <v>544115.08305</v>
      </c>
      <c r="C5" s="29" t="n">
        <v>544115</v>
      </c>
      <c r="D5" s="30" t="n">
        <f aca="false">B5-C5</f>
        <v>0.0830499998992309</v>
      </c>
      <c r="E5" s="31" t="n">
        <f aca="false">IF(C5=0,0,D5/C5)</f>
        <v>1.52633174787004E-007</v>
      </c>
    </row>
    <row r="6" customFormat="false" ht="15" hidden="false" customHeight="false" outlineLevel="0" collapsed="false">
      <c r="A6" s="4" t="s">
        <v>128</v>
      </c>
      <c r="B6" s="17" t="n">
        <f aca="false">'1.2 BERT'!B19</f>
        <v>754407.4032</v>
      </c>
      <c r="C6" s="29" t="n">
        <v>754407</v>
      </c>
      <c r="D6" s="30" t="n">
        <f aca="false">B6-C6</f>
        <v>0.40320000005886</v>
      </c>
      <c r="E6" s="31" t="n">
        <f aca="false">IF(C6=0,0,D6/C6)</f>
        <v>5.34459515962683E-007</v>
      </c>
    </row>
    <row r="7" customFormat="false" ht="15" hidden="false" customHeight="false" outlineLevel="0" collapsed="false">
      <c r="A7" s="4" t="s">
        <v>129</v>
      </c>
      <c r="B7" s="17" t="n">
        <f aca="false">'1.2 BERT'!B20</f>
        <v>75440740.32</v>
      </c>
      <c r="C7" s="29" t="n">
        <v>75440740</v>
      </c>
      <c r="D7" s="30" t="n">
        <f aca="false">B7-C7</f>
        <v>0.320000007748604</v>
      </c>
      <c r="E7" s="31" t="n">
        <f aca="false">IF(C7=0,0,D7/C7)</f>
        <v>4.24174004322603E-009</v>
      </c>
    </row>
    <row r="9" customFormat="false" ht="15" hidden="false" customHeight="false" outlineLevel="0" collapsed="false">
      <c r="A9" s="2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131</v>
      </c>
    </row>
    <row r="3" customFormat="false" ht="120" hidden="false" customHeight="true" outlineLevel="0" collapsed="false">
      <c r="A3" s="32" t="s">
        <v>132</v>
      </c>
      <c r="B3" s="33" t="s">
        <v>133</v>
      </c>
    </row>
    <row r="4" customFormat="false" ht="105" hidden="false" customHeight="true" outlineLevel="0" collapsed="false">
      <c r="A4" s="32" t="s">
        <v>134</v>
      </c>
      <c r="B4" s="33" t="s">
        <v>135</v>
      </c>
    </row>
    <row r="5" customFormat="false" ht="150" hidden="false" customHeight="true" outlineLevel="0" collapsed="false">
      <c r="A5" s="32" t="s">
        <v>136</v>
      </c>
      <c r="B5" s="33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5" min="5" style="0" width="4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138</v>
      </c>
    </row>
    <row r="3" customFormat="false" ht="15" hidden="false" customHeight="false" outlineLevel="0" collapsed="false">
      <c r="A3" s="3" t="s">
        <v>139</v>
      </c>
      <c r="B3" s="3" t="s">
        <v>140</v>
      </c>
      <c r="C3" s="3" t="s">
        <v>141</v>
      </c>
      <c r="D3" s="3" t="s">
        <v>142</v>
      </c>
      <c r="F3" s="25" t="s">
        <v>143</v>
      </c>
    </row>
    <row r="4" customFormat="false" ht="15" hidden="false" customHeight="false" outlineLevel="0" collapsed="false">
      <c r="A4" s="4" t="n">
        <v>0</v>
      </c>
      <c r="B4" s="29" t="n">
        <v>0</v>
      </c>
      <c r="C4" s="29" t="n">
        <v>0</v>
      </c>
      <c r="D4" s="34" t="n">
        <v>0</v>
      </c>
      <c r="F4" s="25" t="s">
        <v>144</v>
      </c>
      <c r="G4" s="35" t="n">
        <v>80</v>
      </c>
    </row>
    <row r="5" customFormat="false" ht="15" hidden="false" customHeight="false" outlineLevel="0" collapsed="false">
      <c r="A5" s="4" t="n">
        <v>1</v>
      </c>
      <c r="B5" s="29" t="n">
        <v>47</v>
      </c>
      <c r="C5" s="29" t="n">
        <v>2</v>
      </c>
      <c r="D5" s="34" t="n">
        <v>1.37</v>
      </c>
      <c r="F5" s="25" t="s">
        <v>145</v>
      </c>
      <c r="G5" s="35" t="n">
        <v>70</v>
      </c>
    </row>
    <row r="6" customFormat="false" ht="15" hidden="false" customHeight="false" outlineLevel="0" collapsed="false">
      <c r="A6" s="4" t="n">
        <v>2</v>
      </c>
      <c r="B6" s="29" t="n">
        <v>75</v>
      </c>
      <c r="C6" s="29" t="n">
        <v>15</v>
      </c>
      <c r="D6" s="34" t="n">
        <v>144.7</v>
      </c>
      <c r="F6" s="25" t="s">
        <v>146</v>
      </c>
      <c r="G6" s="35" t="n">
        <v>55</v>
      </c>
    </row>
    <row r="7" customFormat="false" ht="15" hidden="false" customHeight="false" outlineLevel="0" collapsed="false">
      <c r="A7" s="4" t="n">
        <v>3</v>
      </c>
      <c r="B7" s="29" t="n">
        <v>159</v>
      </c>
      <c r="C7" s="29" t="n">
        <v>25</v>
      </c>
      <c r="D7" s="34" t="n">
        <v>319.53</v>
      </c>
      <c r="F7" s="25" t="s">
        <v>147</v>
      </c>
      <c r="G7" s="35" t="n">
        <v>40</v>
      </c>
    </row>
    <row r="8" customFormat="false" ht="15" hidden="false" customHeight="false" outlineLevel="0" collapsed="false">
      <c r="A8" s="4" t="n">
        <v>4</v>
      </c>
      <c r="B8" s="29" t="n">
        <v>233</v>
      </c>
      <c r="C8" s="29" t="n">
        <v>34</v>
      </c>
      <c r="D8" s="34" t="n">
        <v>479.46</v>
      </c>
      <c r="F8" s="25" t="s">
        <v>148</v>
      </c>
      <c r="G8" s="35" t="n">
        <v>25</v>
      </c>
    </row>
    <row r="9" customFormat="false" ht="15" hidden="false" customHeight="false" outlineLevel="0" collapsed="false">
      <c r="A9" s="4" t="n">
        <v>5</v>
      </c>
      <c r="B9" s="29" t="n">
        <v>298</v>
      </c>
      <c r="C9" s="29" t="n">
        <v>42</v>
      </c>
      <c r="D9" s="34" t="n">
        <v>631.97</v>
      </c>
      <c r="F9" s="25" t="s">
        <v>149</v>
      </c>
      <c r="G9" s="35" t="n">
        <v>10</v>
      </c>
    </row>
    <row r="10" customFormat="false" ht="15" hidden="false" customHeight="false" outlineLevel="0" collapsed="false">
      <c r="A10" s="4" t="n">
        <v>6</v>
      </c>
      <c r="B10" s="29" t="n">
        <v>358</v>
      </c>
      <c r="C10" s="29" t="n">
        <v>49</v>
      </c>
      <c r="D10" s="34" t="n">
        <v>783.38</v>
      </c>
      <c r="F10" s="25" t="s">
        <v>150</v>
      </c>
      <c r="G10" s="35" t="n">
        <v>0</v>
      </c>
    </row>
    <row r="11" customFormat="false" ht="15" hidden="false" customHeight="false" outlineLevel="0" collapsed="false">
      <c r="A11" s="4" t="n">
        <v>7</v>
      </c>
      <c r="B11" s="29" t="n">
        <v>417</v>
      </c>
      <c r="C11" s="29" t="n">
        <v>56</v>
      </c>
      <c r="D11" s="34" t="n">
        <v>937.91</v>
      </c>
    </row>
    <row r="12" customFormat="false" ht="15" hidden="false" customHeight="false" outlineLevel="0" collapsed="false">
      <c r="A12" s="4" t="n">
        <v>8</v>
      </c>
      <c r="B12" s="29" t="n">
        <v>476</v>
      </c>
      <c r="C12" s="29" t="n">
        <v>63</v>
      </c>
      <c r="D12" s="34" t="n">
        <v>1098.62</v>
      </c>
      <c r="F12" s="2" t="s">
        <v>151</v>
      </c>
    </row>
    <row r="13" customFormat="false" ht="15" hidden="false" customHeight="false" outlineLevel="0" collapsed="false">
      <c r="A13" s="4" t="n">
        <v>9</v>
      </c>
      <c r="B13" s="29" t="n">
        <v>537</v>
      </c>
      <c r="C13" s="29" t="n">
        <v>70</v>
      </c>
      <c r="D13" s="34" t="n">
        <v>1265.47</v>
      </c>
    </row>
    <row r="14" customFormat="false" ht="15" hidden="false" customHeight="false" outlineLevel="0" collapsed="false">
      <c r="A14" s="4" t="n">
        <v>10</v>
      </c>
      <c r="B14" s="29" t="n">
        <v>603</v>
      </c>
      <c r="C14" s="29" t="n">
        <v>78</v>
      </c>
      <c r="D14" s="34" t="n">
        <v>1448.32</v>
      </c>
    </row>
    <row r="15" customFormat="false" ht="15" hidden="false" customHeight="false" outlineLevel="0" collapsed="false">
      <c r="A15" s="4" t="n">
        <v>11</v>
      </c>
      <c r="B15" s="29" t="n">
        <v>674</v>
      </c>
      <c r="C15" s="29" t="n">
        <v>86</v>
      </c>
      <c r="D15" s="34" t="n">
        <v>1648.27</v>
      </c>
    </row>
    <row r="16" customFormat="false" ht="15" hidden="false" customHeight="false" outlineLevel="0" collapsed="false">
      <c r="A16" s="4" t="n">
        <v>12</v>
      </c>
      <c r="B16" s="29" t="n">
        <v>753</v>
      </c>
      <c r="C16" s="29" t="n">
        <v>95</v>
      </c>
      <c r="D16" s="34" t="n">
        <v>1876.08</v>
      </c>
    </row>
    <row r="17" customFormat="false" ht="15" hidden="false" customHeight="false" outlineLevel="0" collapsed="false">
      <c r="A17" s="4" t="n">
        <v>13</v>
      </c>
      <c r="B17" s="29" t="n">
        <v>843</v>
      </c>
      <c r="C17" s="29" t="n">
        <v>105</v>
      </c>
      <c r="D17" s="34" t="n">
        <v>2142.06</v>
      </c>
    </row>
    <row r="18" customFormat="false" ht="15" hidden="false" customHeight="false" outlineLevel="0" collapsed="false">
      <c r="A18" s="4" t="n">
        <v>14</v>
      </c>
      <c r="B18" s="29" t="n">
        <v>949</v>
      </c>
      <c r="C18" s="29" t="n">
        <v>117</v>
      </c>
      <c r="D18" s="34" t="n">
        <v>2465.37</v>
      </c>
    </row>
    <row r="19" customFormat="false" ht="15" hidden="false" customHeight="false" outlineLevel="0" collapsed="false">
      <c r="A19" s="4" t="n">
        <v>15</v>
      </c>
      <c r="B19" s="29" t="n">
        <v>1076</v>
      </c>
      <c r="C19" s="29" t="n">
        <v>130</v>
      </c>
      <c r="D19" s="34" t="n">
        <v>2866.31</v>
      </c>
    </row>
    <row r="20" customFormat="false" ht="15" hidden="false" customHeight="false" outlineLevel="0" collapsed="false">
      <c r="A20" s="4" t="n">
        <v>16</v>
      </c>
      <c r="B20" s="29" t="n">
        <v>1237</v>
      </c>
      <c r="C20" s="29" t="n">
        <v>147</v>
      </c>
      <c r="D20" s="34" t="n">
        <v>3401.59</v>
      </c>
    </row>
    <row r="21" customFormat="false" ht="15" hidden="false" customHeight="false" outlineLevel="0" collapsed="false">
      <c r="A21" s="4" t="n">
        <v>17</v>
      </c>
      <c r="B21" s="29" t="n">
        <v>1459</v>
      </c>
      <c r="C21" s="29" t="n">
        <v>170</v>
      </c>
      <c r="D21" s="34" t="n">
        <v>4155.73</v>
      </c>
    </row>
    <row r="22" customFormat="false" ht="15" hidden="false" customHeight="false" outlineLevel="0" collapsed="false">
      <c r="A22" s="4" t="n">
        <v>18</v>
      </c>
      <c r="B22" s="29" t="n">
        <v>1801</v>
      </c>
      <c r="C22" s="29" t="n">
        <v>205</v>
      </c>
      <c r="D22" s="34" t="n">
        <v>5400.08</v>
      </c>
    </row>
    <row r="23" customFormat="false" ht="15" hidden="false" customHeight="false" outlineLevel="0" collapsed="false">
      <c r="A23" s="4" t="n">
        <v>19</v>
      </c>
      <c r="B23" s="29" t="n">
        <v>2479</v>
      </c>
      <c r="C23" s="29" t="n">
        <v>281</v>
      </c>
      <c r="D23" s="34" t="n">
        <v>8037.54</v>
      </c>
    </row>
    <row r="24" customFormat="false" ht="15" hidden="false" customHeight="false" outlineLevel="0" collapsed="false">
      <c r="A24" s="4" t="n">
        <v>20</v>
      </c>
      <c r="B24" s="29" t="n">
        <v>594601</v>
      </c>
      <c r="C24" s="29" t="n">
        <v>3920</v>
      </c>
      <c r="D24" s="34" t="n">
        <v>223212.26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7" min="5" style="0" width="11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50"/>
  </cols>
  <sheetData>
    <row r="1" customFormat="false" ht="17.35" hidden="false" customHeight="false" outlineLevel="0" collapsed="false">
      <c r="A1" s="1" t="s">
        <v>152</v>
      </c>
    </row>
    <row r="2" customFormat="false" ht="15" hidden="false" customHeight="false" outlineLevel="0" collapsed="false">
      <c r="A2" s="2" t="s">
        <v>153</v>
      </c>
    </row>
    <row r="4" customFormat="false" ht="31.5" hidden="false" customHeight="true" outlineLevel="0" collapsed="false">
      <c r="A4" s="36" t="s">
        <v>154</v>
      </c>
      <c r="B4" s="36" t="s">
        <v>140</v>
      </c>
      <c r="C4" s="36" t="s">
        <v>141</v>
      </c>
      <c r="D4" s="36" t="s">
        <v>142</v>
      </c>
      <c r="E4" s="36" t="s">
        <v>155</v>
      </c>
      <c r="F4" s="36" t="s">
        <v>156</v>
      </c>
      <c r="G4" s="36" t="s">
        <v>157</v>
      </c>
      <c r="H4" s="36" t="s">
        <v>158</v>
      </c>
      <c r="I4" s="36" t="s">
        <v>159</v>
      </c>
      <c r="J4" s="36" t="s">
        <v>160</v>
      </c>
      <c r="K4" s="36" t="s">
        <v>161</v>
      </c>
      <c r="L4" s="36" t="s">
        <v>162</v>
      </c>
      <c r="M4" s="36" t="s">
        <v>163</v>
      </c>
      <c r="N4" s="36" t="s">
        <v>164</v>
      </c>
      <c r="O4" s="36" t="s">
        <v>165</v>
      </c>
      <c r="P4" s="36" t="s">
        <v>166</v>
      </c>
    </row>
    <row r="5" customFormat="false" ht="15" hidden="false" customHeight="false" outlineLevel="0" collapsed="false">
      <c r="A5" s="4" t="s">
        <v>167</v>
      </c>
      <c r="B5" s="7" t="n">
        <v>195</v>
      </c>
      <c r="C5" s="7" t="n">
        <v>5</v>
      </c>
      <c r="D5" s="37" t="n">
        <v>155.329</v>
      </c>
      <c r="E5" s="10" t="n">
        <f aca="false">IF(B5&gt;=MAX('2 Quantiles'!$B$4:$B$24),20,MATCH(B5,'2 Quantiles'!$B$4:$B$24,1)-1+(B5-INDEX('2 Quantiles'!$B$4:$B$24,MATCH(B5,'2 Quantiles'!$B$4:$B$24,1)))/(INDEX('2 Quantiles'!$B$4:$B$24,MATCH(B5,'2 Quantiles'!$B$4:$B$24,1)+1)-INDEX('2 Quantiles'!$B$4:$B$24,MATCH(B5,'2 Quantiles'!$B$4:$B$24,1))))</f>
        <v>3.48648648648649</v>
      </c>
      <c r="F5" s="10" t="n">
        <f aca="false">IF(C5&gt;=MAX('2 Quantiles'!$C$4:$C$24),20,MATCH(C5,'2 Quantiles'!$C$4:$C$24,1)-1+(C5-INDEX('2 Quantiles'!$C$4:$C$24,MATCH(C5,'2 Quantiles'!$C$4:$C$24,1)))/(INDEX('2 Quantiles'!$C$4:$C$24,MATCH(C5,'2 Quantiles'!$C$4:$C$24,1)+1)-INDEX('2 Quantiles'!$C$4:$C$24,MATCH(C5,'2 Quantiles'!$C$4:$C$24,1))))</f>
        <v>1.23076923076923</v>
      </c>
      <c r="G5" s="10" t="n">
        <f aca="false">IF(D5&gt;=MAX('2 Quantiles'!$D$4:$D$24),20,MATCH(D5,'2 Quantiles'!$D$4:$D$24,1)-1+(D5-INDEX('2 Quantiles'!$D$4:$D$24,MATCH(D5,'2 Quantiles'!$D$4:$D$24,1)))/(INDEX('2 Quantiles'!$D$4:$D$24,MATCH(D5,'2 Quantiles'!$D$4:$D$24,1)+1)-INDEX('2 Quantiles'!$D$4:$D$24,MATCH(D5,'2 Quantiles'!$D$4:$D$24,1))))</f>
        <v>2.06079620202482</v>
      </c>
      <c r="H5" s="13" t="n">
        <f aca="false">100-5*(3*E5+2*F5+G5)/6</f>
        <v>87.5151715641477</v>
      </c>
      <c r="I5" s="38" t="n">
        <f aca="false">ROUND(H5,0)</f>
        <v>88</v>
      </c>
      <c r="J5" s="39" t="str">
        <f aca="false">IF(I5&gt;'2 Quantiles'!$G$4,"A",IF(I5&gt;'2 Quantiles'!$G$5,"B",IF(I5&gt;'2 Quantiles'!$G$6,"C",IF(I5&gt;'2 Quantiles'!$G$7,"D",IF(I5&gt;'2 Quantiles'!$G$8,"E",IF(I5&gt;'2 Quantiles'!$G$9,"F","G"))))))</f>
        <v>A</v>
      </c>
      <c r="K5" s="13" t="n">
        <f aca="false">ROUND(2+2*(50-I5)/100,2)</f>
        <v>1.24</v>
      </c>
      <c r="L5" s="13" t="n">
        <f aca="false">ROUND(3+3*(50-I5)/100,2)</f>
        <v>1.86</v>
      </c>
      <c r="M5" s="40" t="n">
        <v>88</v>
      </c>
      <c r="N5" s="41" t="s">
        <v>144</v>
      </c>
      <c r="O5" s="42" t="n">
        <f aca="false">I5-M5</f>
        <v>0</v>
      </c>
      <c r="P5" s="43" t="s">
        <v>168</v>
      </c>
    </row>
    <row r="6" customFormat="false" ht="15" hidden="false" customHeight="false" outlineLevel="0" collapsed="false">
      <c r="A6" s="4" t="s">
        <v>169</v>
      </c>
      <c r="B6" s="7" t="n">
        <v>1462</v>
      </c>
      <c r="C6" s="7" t="n">
        <v>176</v>
      </c>
      <c r="D6" s="37" t="n">
        <v>4374.26</v>
      </c>
      <c r="E6" s="10" t="n">
        <f aca="false">IF(B6&gt;=MAX('2 Quantiles'!$B$4:$B$24),20,MATCH(B6,'2 Quantiles'!$B$4:$B$24,1)-1+(B6-INDEX('2 Quantiles'!$B$4:$B$24,MATCH(B6,'2 Quantiles'!$B$4:$B$24,1)))/(INDEX('2 Quantiles'!$B$4:$B$24,MATCH(B6,'2 Quantiles'!$B$4:$B$24,1)+1)-INDEX('2 Quantiles'!$B$4:$B$24,MATCH(B6,'2 Quantiles'!$B$4:$B$24,1))))</f>
        <v>17.0087719298246</v>
      </c>
      <c r="F6" s="10" t="n">
        <f aca="false">IF(C6&gt;=MAX('2 Quantiles'!$C$4:$C$24),20,MATCH(C6,'2 Quantiles'!$C$4:$C$24,1)-1+(C6-INDEX('2 Quantiles'!$C$4:$C$24,MATCH(C6,'2 Quantiles'!$C$4:$C$24,1)))/(INDEX('2 Quantiles'!$C$4:$C$24,MATCH(C6,'2 Quantiles'!$C$4:$C$24,1)+1)-INDEX('2 Quantiles'!$C$4:$C$24,MATCH(C6,'2 Quantiles'!$C$4:$C$24,1))))</f>
        <v>17.1714285714286</v>
      </c>
      <c r="G6" s="10" t="n">
        <f aca="false">IF(D6&gt;=MAX('2 Quantiles'!$D$4:$D$24),20,MATCH(D6,'2 Quantiles'!$D$4:$D$24,1)-1+(D6-INDEX('2 Quantiles'!$D$4:$D$24,MATCH(D6,'2 Quantiles'!$D$4:$D$24,1)))/(INDEX('2 Quantiles'!$D$4:$D$24,MATCH(D6,'2 Quantiles'!$D$4:$D$24,1)+1)-INDEX('2 Quantiles'!$D$4:$D$24,MATCH(D6,'2 Quantiles'!$D$4:$D$24,1))))</f>
        <v>17.1756177924217</v>
      </c>
      <c r="H6" s="13" t="n">
        <f aca="false">100-5*(3*E6+2*F6+G6)/6</f>
        <v>14.5460077293728</v>
      </c>
      <c r="I6" s="38" t="n">
        <f aca="false">ROUND(H6,0)</f>
        <v>15</v>
      </c>
      <c r="J6" s="39" t="str">
        <f aca="false">IF(I6&gt;'2 Quantiles'!$G$4,"A",IF(I6&gt;'2 Quantiles'!$G$5,"B",IF(I6&gt;'2 Quantiles'!$G$6,"C",IF(I6&gt;'2 Quantiles'!$G$7,"D",IF(I6&gt;'2 Quantiles'!$G$8,"E",IF(I6&gt;'2 Quantiles'!$G$9,"F","G"))))))</f>
        <v>F</v>
      </c>
      <c r="K6" s="13" t="n">
        <f aca="false">ROUND(2+2*(50-I6)/100,2)</f>
        <v>2.7</v>
      </c>
      <c r="L6" s="13" t="n">
        <f aca="false">ROUND(3+3*(50-I6)/100,2)</f>
        <v>4.05</v>
      </c>
      <c r="M6" s="40" t="n">
        <v>15</v>
      </c>
      <c r="N6" s="41" t="s">
        <v>149</v>
      </c>
      <c r="O6" s="42" t="n">
        <f aca="false">I6-M6</f>
        <v>0</v>
      </c>
      <c r="P6" s="43" t="s">
        <v>170</v>
      </c>
    </row>
    <row r="7" customFormat="false" ht="45" hidden="false" customHeight="true" outlineLevel="0" collapsed="false">
      <c r="A7" s="4" t="s">
        <v>171</v>
      </c>
      <c r="B7" s="7" t="n">
        <v>2299</v>
      </c>
      <c r="C7" s="7" t="n">
        <v>340</v>
      </c>
      <c r="D7" s="37" t="n">
        <v>6019.26</v>
      </c>
      <c r="E7" s="10" t="n">
        <f aca="false">IF(B7&gt;=MAX('2 Quantiles'!$B$4:$B$24),20,MATCH(B7,'2 Quantiles'!$B$4:$B$24,1)-1+(B7-INDEX('2 Quantiles'!$B$4:$B$24,MATCH(B7,'2 Quantiles'!$B$4:$B$24,1)))/(INDEX('2 Quantiles'!$B$4:$B$24,MATCH(B7,'2 Quantiles'!$B$4:$B$24,1)+1)-INDEX('2 Quantiles'!$B$4:$B$24,MATCH(B7,'2 Quantiles'!$B$4:$B$24,1))))</f>
        <v>18.7345132743363</v>
      </c>
      <c r="F7" s="10" t="n">
        <f aca="false">IF(C7&gt;=MAX('2 Quantiles'!$C$4:$C$24),20,MATCH(C7,'2 Quantiles'!$C$4:$C$24,1)-1+(C7-INDEX('2 Quantiles'!$C$4:$C$24,MATCH(C7,'2 Quantiles'!$C$4:$C$24,1)))/(INDEX('2 Quantiles'!$C$4:$C$24,MATCH(C7,'2 Quantiles'!$C$4:$C$24,1)+1)-INDEX('2 Quantiles'!$C$4:$C$24,MATCH(C7,'2 Quantiles'!$C$4:$C$24,1))))</f>
        <v>19.0162132453971</v>
      </c>
      <c r="G7" s="10" t="n">
        <f aca="false">IF(D7&gt;=MAX('2 Quantiles'!$D$4:$D$24),20,MATCH(D7,'2 Quantiles'!$D$4:$D$24,1)-1+(D7-INDEX('2 Quantiles'!$D$4:$D$24,MATCH(D7,'2 Quantiles'!$D$4:$D$24,1)))/(INDEX('2 Quantiles'!$D$4:$D$24,MATCH(D7,'2 Quantiles'!$D$4:$D$24,1)+1)-INDEX('2 Quantiles'!$D$4:$D$24,MATCH(D7,'2 Quantiles'!$D$4:$D$24,1))))</f>
        <v>18.2347637499716</v>
      </c>
      <c r="H7" s="13" t="n">
        <f aca="false">100-5*(3*E7+2*F7+G7)/6</f>
        <v>6.27439161352118</v>
      </c>
      <c r="I7" s="38" t="n">
        <f aca="false">ROUND(H7,0)</f>
        <v>6</v>
      </c>
      <c r="J7" s="39" t="str">
        <f aca="false">IF(I7&gt;'2 Quantiles'!$G$4,"A",IF(I7&gt;'2 Quantiles'!$G$5,"B",IF(I7&gt;'2 Quantiles'!$G$6,"C",IF(I7&gt;'2 Quantiles'!$G$7,"D",IF(I7&gt;'2 Quantiles'!$G$8,"E",IF(I7&gt;'2 Quantiles'!$G$9,"F","G"))))))</f>
        <v>G</v>
      </c>
      <c r="K7" s="13" t="n">
        <f aca="false">ROUND(2+2*(50-I7)/100,2)</f>
        <v>2.88</v>
      </c>
      <c r="L7" s="13" t="n">
        <f aca="false">ROUND(3+3*(50-I7)/100,2)</f>
        <v>4.32</v>
      </c>
      <c r="M7" s="40" t="n">
        <v>6</v>
      </c>
      <c r="N7" s="41" t="s">
        <v>150</v>
      </c>
      <c r="O7" s="42" t="n">
        <f aca="false">I7-M7</f>
        <v>0</v>
      </c>
      <c r="P7" s="43" t="s">
        <v>172</v>
      </c>
    </row>
    <row r="10" customFormat="false" ht="15" hidden="false" customHeight="false" outlineLevel="0" collapsed="false">
      <c r="A10" s="2" t="s">
        <v>173</v>
      </c>
    </row>
    <row r="11" customFormat="false" ht="15" hidden="false" customHeight="false" outlineLevel="0" collapsed="false">
      <c r="A11" s="2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2026-10-16T08:50:12Z</dcterms:created>
  <dc:creator>openpyxl</dc:creator>
  <dc:description/>
  <dc:language>en-US</dc:language>
  <cp:lastModifiedBy/>
  <dcterms:modified xsi:type="dcterms:W3CDTF">2026-10-16T08:50:12Z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